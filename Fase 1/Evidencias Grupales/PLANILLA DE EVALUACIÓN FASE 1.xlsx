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lases\DUOC\CAPSTONE\2025-2\Rúbricas\5V\"/>
    </mc:Choice>
  </mc:AlternateContent>
  <xr:revisionPtr revIDLastSave="0" documentId="13_ncr:1_{07E49593-7202-43EE-AEF4-B9E42E06DB4F}"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<sst xmlns="http://schemas.openxmlformats.org/spreadsheetml/2006/main" count="157" uniqueCount="98">
  <si>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</si>
  <si>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</si>
  <si>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</si>
  <si>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</si>
  <si>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</si>
  <si>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</si>
  <si>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</si>
  <si>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</si>
  <si>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</si>
  <si>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</si>
  <si>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</si>
  <si>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</si>
  <si>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</si>
  <si>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</si>
  <si>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</si>
  <si>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</si>
  <si>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</si>
  <si>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</si>
  <si>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</si>
  <si>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</si>
  <si>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</si>
  <si>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</si>
  <si>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</si>
  <si>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</si>
  <si>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</si>
  <si>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</si>
  <si>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</si>
  <si>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</si>
  <si>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</si>
  <si>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</si>
  <si>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</si>
  <si>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</si>
  <si>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</si>
  <si>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</si>
  <si>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</si>
  <si>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</si>
  <si>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</si>
  <si>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</si>
  <si>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</si>
  <si>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</si>
  <si>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</si>
  <si>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</si>
  <si>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</si>
  <si>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</si>
  <si>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</si>
  <si>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</si>
  <si>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</si>
  <si>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</si>
  <si>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</si>
  <si>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</si>
  <si>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</si>
  <si>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</si>
  <si>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</si>
  <si>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</si>
  <si>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</si>
  <si>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</si>
  <si>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</si>
  <si>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</si>
  <si>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</si>
  <si>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</si>
  <si>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</si>
  <si>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</si>
  <si>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</si>
  <si>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</si>
  <si>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</si>
  <si>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</si>
  <si>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</si>
  <si>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</si>
  <si>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</si>
  <si>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</si>
  <si>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</si>
  <si>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</si>
  <si>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</si>
  <si>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</si>
  <si>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</si>
  <si>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</si>
  <si>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</si>
  <si>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</si>
  <si>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</si>
  <si>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</si>
  <si>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</si>
  <si>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</si>
  <si>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</si>
  <si>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</si>
  <si>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</si>
  <si>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</si>
  <si>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</si>
  <si>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</si>
  <si>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</si>
  <si>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</si>
  <si>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</si>
  <si>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</si>
  <si>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</si>
  <si>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</si>
  <si>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</si>
  <si>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FONCEA VIDAL THOMAS IGNACIO</t>
  </si>
  <si>
    <t>OTAROLA BUSTOS EDUARDO IGNACIO</t>
  </si>
  <si>
    <t>ROJAS LORCA ALESSANDRO DI PAOLO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</si>
</sst>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22" sqref="C2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4.4000000000000004</v>
      </c>
      <c r="D4" s="6">
        <f>$C$35</f>
        <v>7</v>
      </c>
      <c r="E4" s="43">
        <f>C4*C$2+D4*D$2</f>
        <v>5.0500000000000007</v>
      </c>
      <c r="G4" s="1"/>
    </row>
    <row r="5" spans="1:11" ht="14.4" x14ac:dyDescent="0.3">
      <c r="A5" s="5">
        <v>2</v>
      </c>
      <c r="B5" s="32" t="s">
        <v>96</v>
      </c>
      <c r="C5" s="6">
        <f>EVALUACION1!$C$24</f>
        <v>4.4000000000000004</v>
      </c>
      <c r="D5" s="6">
        <f>C47</f>
        <v>7</v>
      </c>
      <c r="E5" s="43">
        <f t="shared" ref="E5:E6" si="0">C5*C$2+D5*D$2</f>
        <v>5.0500000000000007</v>
      </c>
      <c r="G5" s="1"/>
    </row>
    <row r="6" spans="1:11" ht="14.4" x14ac:dyDescent="0.3">
      <c r="A6" s="5">
        <v>3</v>
      </c>
      <c r="B6" s="32" t="s">
        <v>97</v>
      </c>
      <c r="C6" s="6">
        <f>EVALUACION1!$C$24</f>
        <v>4.4000000000000004</v>
      </c>
      <c r="D6" s="6">
        <f>C58</f>
        <v>7</v>
      </c>
      <c r="E6" s="43">
        <f t="shared" si="0"/>
        <v>5.0500000000000007</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93</v>
      </c>
      <c r="D17" s="16" t="str">
        <f t="shared" ref="D17:D22" si="12">IF($C17=CL,"X","")</f>
        <v/>
      </c>
      <c r="E17" s="16" t="str">
        <f t="shared" ref="E17" si="13">IF(D17="X",100*0.1,"")</f>
        <v/>
      </c>
      <c r="F17" s="16" t="str">
        <f t="shared" ref="F17:F22" si="14">IF($C17=L,"X","")</f>
        <v/>
      </c>
      <c r="G17" s="16" t="str">
        <f t="shared" ref="G17" si="15">IF(F17="X",60*0.1,"")</f>
        <v/>
      </c>
      <c r="H17" s="16" t="str">
        <f t="shared" ref="H17:H22" si="16">IF($C17=ML,"X","")</f>
        <v>X</v>
      </c>
      <c r="I17" s="16">
        <f t="shared" ref="I17" si="17">IF(H17="X",30*0.1,"")</f>
        <v>3</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10</v>
      </c>
      <c r="D19" s="16" t="str">
        <f t="shared" si="12"/>
        <v/>
      </c>
      <c r="E19" s="16" t="str">
        <f>IF(D19="X",100*0.05,"")</f>
        <v/>
      </c>
      <c r="F19" s="16" t="str">
        <f t="shared" si="14"/>
        <v/>
      </c>
      <c r="G19" s="16" t="str">
        <f t="shared" ref="G19" si="23">IF(F19="X",60*0.05,"")</f>
        <v/>
      </c>
      <c r="H19" s="16" t="str">
        <f t="shared" si="16"/>
        <v/>
      </c>
      <c r="I19" s="16" t="str">
        <f t="shared" ref="I19" si="24">IF(H19="X",30*0.05,"")</f>
        <v/>
      </c>
      <c r="J19" s="16" t="str">
        <f t="shared" si="18"/>
        <v>X</v>
      </c>
      <c r="K19" s="16">
        <f t="shared" si="19"/>
        <v>0</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10</v>
      </c>
      <c r="D22" s="16" t="str">
        <f t="shared" si="12"/>
        <v/>
      </c>
      <c r="E22" s="16" t="str">
        <f>IF(D22="X",100*0.1,"")</f>
        <v/>
      </c>
      <c r="F22" s="16" t="str">
        <f t="shared" si="14"/>
        <v/>
      </c>
      <c r="G22" s="16" t="str">
        <f>IF(F22="X",60*0.1,"")</f>
        <v/>
      </c>
      <c r="H22" s="16" t="str">
        <f t="shared" si="16"/>
        <v/>
      </c>
      <c r="I22" s="16" t="str">
        <f>IF(H22="X",30*0.1,"")</f>
        <v/>
      </c>
      <c r="J22" s="16" t="str">
        <f t="shared" si="18"/>
        <v>X</v>
      </c>
      <c r="K22" s="16">
        <f t="shared" si="19"/>
        <v>0</v>
      </c>
    </row>
    <row r="23" spans="1:11" ht="15.75" customHeight="1" outlineLevel="1" x14ac:dyDescent="0.35">
      <c r="A23" s="61"/>
      <c r="B23" s="34" t="s">
        <v>11</v>
      </c>
      <c r="C23" s="37">
        <f>E23+G23+I23+K23</f>
        <v>46</v>
      </c>
      <c r="D23" s="19"/>
      <c r="E23" s="19">
        <f>SUM(E13:E22)</f>
        <v>40</v>
      </c>
      <c r="F23" s="19"/>
      <c r="G23" s="19">
        <f>SUM(G13:G22)</f>
        <v>3</v>
      </c>
      <c r="H23" s="19"/>
      <c r="I23" s="19">
        <f>SUM(I13:I22)</f>
        <v>3</v>
      </c>
      <c r="J23" s="19"/>
      <c r="K23" s="19">
        <f>SUM(K13:K22)</f>
        <v>0</v>
      </c>
    </row>
    <row r="24" spans="1:11" ht="15.75" customHeight="1" outlineLevel="1" x14ac:dyDescent="0.35">
      <c r="A24" s="50"/>
      <c r="B24" s="36" t="s">
        <v>12</v>
      </c>
      <c r="C24" s="20">
        <f>VLOOKUP(C23,ESCALA_IEP!A2:B142,2,FALSE)</f>
        <v>4.4000000000000004</v>
      </c>
    </row>
    <row r="25" spans="1:11" ht="15.75" customHeight="1" x14ac:dyDescent="0.3"/>
    <row r="26" spans="1:11" ht="15.75" customHeight="1" x14ac:dyDescent="0.3"/>
    <row r="27" spans="1:11" ht="15.75" customHeight="1" x14ac:dyDescent="0.3">
      <c r="A27" s="60" t="s">
        <v>13</v>
      </c>
      <c r="B27" s="49" t="s">
        <v>14</v>
      </c>
      <c r="C27" s="52" t="str">
        <f>$B$4</f>
        <v>FONCEA VIDAL THOMAS IGNACIO</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OTAROLA BUSTOS EDUARDO IGNACIO</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ROJAS LORCA ALESSANDRO DI PAOLO</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2025-09-27T15:45:38Z</dcterms:modified>
  <cp:category/>
  <cp:contentStatus/>
</cp:coreProperties>
</file>